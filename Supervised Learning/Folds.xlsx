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tron/Documents/Dev Test/Mineral Exploration/"/>
    </mc:Choice>
  </mc:AlternateContent>
  <xr:revisionPtr revIDLastSave="0" documentId="13_ncr:1_{18F63268-4FB7-0445-9DEB-DA1F79A91EDD}" xr6:coauthVersionLast="47" xr6:coauthVersionMax="47" xr10:uidLastSave="{00000000-0000-0000-0000-000000000000}"/>
  <bookViews>
    <workbookView xWindow="3260" yWindow="2260" windowWidth="28040" windowHeight="17180" activeTab="3" xr2:uid="{82F2DB6A-5F23-C047-A2BF-CB9309507056}"/>
  </bookViews>
  <sheets>
    <sheet name="Logistic Regression" sheetId="1" r:id="rId1"/>
    <sheet name="XGBoost" sheetId="2" r:id="rId2"/>
    <sheet name="CNN+MLP" sheetId="3" r:id="rId3"/>
    <sheet name="Comparison" sheetId="4" r:id="rId4"/>
  </sheets>
  <definedNames>
    <definedName name="cnn_mlp_5fold_results" localSheetId="2">'CNN+MLP'!$A$1:$D$6</definedName>
    <definedName name="logistic_regression_5fold_results" localSheetId="0">'Logistic Regression'!$A$1:$D$6</definedName>
    <definedName name="xgboost_5fold_results" localSheetId="1">XGBoost!$A$1:$D$6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  <c r="D7" i="3"/>
  <c r="B7" i="3"/>
  <c r="C7" i="2"/>
  <c r="D7" i="2"/>
  <c r="B7" i="2"/>
  <c r="C7" i="1"/>
  <c r="D7" i="1"/>
  <c r="B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4A1A65-0AF2-8941-ACF0-64665E889B0C}" name="cnn_mlp_5fold_results" type="6" refreshedVersion="8" background="1" saveData="1">
    <textPr codePage="65001" sourceFile="/Users/megatron/Documents/Dev Test/Mineral Exploration/CNN model/cnn_mlp_5fold_results.csv" tab="0" comma="1">
      <textFields count="4">
        <textField/>
        <textField/>
        <textField/>
        <textField/>
      </textFields>
    </textPr>
  </connection>
  <connection id="2" xr16:uid="{D300A8FB-DE6A-EF4D-A266-485248F69C79}" name="logistic_regression_5fold_results" type="6" refreshedVersion="8" background="1" saveData="1">
    <textPr codePage="65001" sourceFile="/Users/megatron/Documents/Dev Test/Mineral Exploration/Logistic Regression model/logistic_regression_5fold_results.csv" tab="0" comma="1">
      <textFields count="4">
        <textField/>
        <textField/>
        <textField/>
        <textField/>
      </textFields>
    </textPr>
  </connection>
  <connection id="3" xr16:uid="{90E4F10E-5678-8D43-83AA-FF59EDC20ECE}" name="xgboost_5fold_results" type="6" refreshedVersion="8" background="1" saveData="1">
    <textPr codePage="65001" sourceFile="/Users/megatron/Documents/Dev Test/Mineral Exploration/XGBoost model/xgboost_5fold_results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<sst xmlns="http://schemas.openxmlformats.org/spreadsheetml/2006/main" count="32" uniqueCount="19">
  <si>
    <t>fold</t>
  </si>
  <si>
    <t>roc_auc</t>
  </si>
  <si>
    <t>pr_auc</t>
  </si>
  <si>
    <t>positive_rate</t>
  </si>
  <si>
    <t>average</t>
  </si>
  <si>
    <t>Logistic Regression</t>
  </si>
  <si>
    <t>XGBoost</t>
  </si>
  <si>
    <t>CNN+MLP</t>
  </si>
  <si>
    <t>Average roc_auc</t>
  </si>
  <si>
    <t>Average pr_auc</t>
  </si>
  <si>
    <t>Average positive rate</t>
  </si>
  <si>
    <t>Model Family</t>
  </si>
  <si>
    <t>Feature Representation</t>
  </si>
  <si>
    <t>Mean ROC-AUC</t>
  </si>
  <si>
    <t>Mean PR-AUC</t>
  </si>
  <si>
    <t>Positive Rate</t>
  </si>
  <si>
    <t>Tabular features</t>
  </si>
  <si>
    <t>CNN + MLP</t>
  </si>
  <si>
    <t>Magnetic images + tabular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</si>
</sst>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gistic_regression_5fold_results" connectionId="2" xr16:uid="{2ACC444E-6378-A445-A9D6-396E897EAEA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gboost_5fold_results" connectionId="3" xr16:uid="{FF7C3709-24D2-9345-84B3-6ADD9E61088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nn_mlp_5fold_results" connectionId="1" xr16:uid="{11ABF318-9AEC-EC4D-95A8-8166A559E79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65BE-96BE-134E-914E-0EFDC04D8857}">
  <dimension ref="A1:D7"/>
  <sheetViews>
    <sheetView workbookViewId="0">
      <selection activeCell="D7" sqref="D7"/>
    </sheetView>
  </sheetViews>
  <sheetFormatPr baseColWidth="10" defaultRowHeight="16" x14ac:dyDescent="0.2"/>
  <cols>
    <col min="1" max="1" width="8" customWidth="1"/>
    <col min="2" max="2" width="16" customWidth="1"/>
    <col min="3" max="3" width="14.6640625" customWidth="1"/>
    <col min="4" max="4" width="17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 s="2">
        <v>0.76109634652981395</v>
      </c>
      <c r="C2" s="2">
        <v>0.150626044993146</v>
      </c>
      <c r="D2" s="2">
        <v>3.1969749054657902E-2</v>
      </c>
    </row>
    <row r="3" spans="1:4" x14ac:dyDescent="0.2">
      <c r="A3">
        <v>1</v>
      </c>
      <c r="B3" s="2">
        <v>0.783450160573122</v>
      </c>
      <c r="C3" s="2">
        <v>0.18148096968719901</v>
      </c>
      <c r="D3" s="2">
        <v>3.1636863823933901E-2</v>
      </c>
    </row>
    <row r="4" spans="1:4" x14ac:dyDescent="0.2">
      <c r="A4">
        <v>2</v>
      </c>
      <c r="B4" s="2">
        <v>0.79635004940711396</v>
      </c>
      <c r="C4" s="2">
        <v>0.26265969417515</v>
      </c>
      <c r="D4" s="2">
        <v>3.1636863823933901E-2</v>
      </c>
    </row>
    <row r="5" spans="1:4" x14ac:dyDescent="0.2">
      <c r="A5">
        <v>3</v>
      </c>
      <c r="B5" s="2">
        <v>0.77444494194664004</v>
      </c>
      <c r="C5" s="2">
        <v>0.168844973190486</v>
      </c>
      <c r="D5" s="2">
        <v>3.1636863823933901E-2</v>
      </c>
    </row>
    <row r="6" spans="1:4" x14ac:dyDescent="0.2">
      <c r="A6">
        <v>4</v>
      </c>
      <c r="B6" s="2">
        <v>0.78123456027667904</v>
      </c>
      <c r="C6" s="2">
        <v>0.15993351480486701</v>
      </c>
      <c r="D6" s="2">
        <v>3.1636863823933901E-2</v>
      </c>
    </row>
    <row r="7" spans="1:4" x14ac:dyDescent="0.2">
      <c r="A7" t="s">
        <v>4</v>
      </c>
      <c r="B7" s="2">
        <f>SUM(B2:B6)/5</f>
        <v>0.77931521174667373</v>
      </c>
      <c r="C7" s="2">
        <f t="shared" ref="C7:D7" si="0">SUM(C2:C6)/5</f>
        <v>0.18470903937016958</v>
      </c>
      <c r="D7" s="2">
        <f t="shared" si="0"/>
        <v>3.1703440870078703E-2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99D4-C4F5-1F44-BEFD-F0C55D486ADA}">
  <dimension ref="A1:D7"/>
  <sheetViews>
    <sheetView workbookViewId="0">
      <selection activeCell="D7" sqref="D7"/>
    </sheetView>
  </sheetViews>
  <sheetFormatPr baseColWidth="10" defaultRowHeight="16" x14ac:dyDescent="0.2"/>
  <cols>
    <col min="1" max="1" width="9.1640625" customWidth="1"/>
    <col min="2" max="2" width="14" customWidth="1"/>
    <col min="3" max="4" width="1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 s="2">
        <v>0.85507545210166103</v>
      </c>
      <c r="C2" s="2">
        <v>0.32388467327399001</v>
      </c>
      <c r="D2" s="2">
        <v>3.1969749054657902E-2</v>
      </c>
    </row>
    <row r="3" spans="1:4" x14ac:dyDescent="0.2">
      <c r="A3">
        <v>1</v>
      </c>
      <c r="B3" s="2">
        <v>0.86212327075098805</v>
      </c>
      <c r="C3" s="2">
        <v>0.310345213996082</v>
      </c>
      <c r="D3" s="2">
        <v>3.1636863823933901E-2</v>
      </c>
    </row>
    <row r="4" spans="1:4" x14ac:dyDescent="0.2">
      <c r="A4">
        <v>2</v>
      </c>
      <c r="B4" s="2">
        <v>0.86915220479249</v>
      </c>
      <c r="C4" s="2">
        <v>0.36359233963917897</v>
      </c>
      <c r="D4" s="2">
        <v>3.1636863823933901E-2</v>
      </c>
    </row>
    <row r="5" spans="1:4" x14ac:dyDescent="0.2">
      <c r="A5">
        <v>3</v>
      </c>
      <c r="B5" s="2">
        <v>0.86716048048418903</v>
      </c>
      <c r="C5" s="2">
        <v>0.354958634301277</v>
      </c>
      <c r="D5" s="2">
        <v>3.1636863823933901E-2</v>
      </c>
    </row>
    <row r="6" spans="1:4" x14ac:dyDescent="0.2">
      <c r="A6">
        <v>4</v>
      </c>
      <c r="B6" s="2">
        <v>0.84688812376482203</v>
      </c>
      <c r="C6" s="2">
        <v>0.28980108195242499</v>
      </c>
      <c r="D6" s="2">
        <v>3.1636863823933901E-2</v>
      </c>
    </row>
    <row r="7" spans="1:4" x14ac:dyDescent="0.2">
      <c r="A7" t="s">
        <v>4</v>
      </c>
      <c r="B7" s="2">
        <f>SUM(B2:B6)/5</f>
        <v>0.86007990637882992</v>
      </c>
      <c r="C7" s="2">
        <f t="shared" ref="C7:D7" si="0">SUM(C2:C6)/5</f>
        <v>0.32851638863259058</v>
      </c>
      <c r="D7" s="2">
        <f t="shared" si="0"/>
        <v>3.1703440870078703E-2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F3B8-D758-544F-80FF-45E8B3B2571E}">
  <dimension ref="A1:D7"/>
  <sheetViews>
    <sheetView workbookViewId="0">
      <selection activeCell="D7" sqref="D7"/>
    </sheetView>
  </sheetViews>
  <sheetFormatPr baseColWidth="10" defaultRowHeight="16" x14ac:dyDescent="0.2"/>
  <cols>
    <col min="1" max="1" width="7.5" customWidth="1"/>
    <col min="2" max="4" width="1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 s="2">
        <v>0.75878238025415401</v>
      </c>
      <c r="C2" s="2">
        <v>0.10885875362839</v>
      </c>
      <c r="D2" s="2">
        <v>3.1969749999999998E-2</v>
      </c>
    </row>
    <row r="3" spans="1:4" x14ac:dyDescent="0.2">
      <c r="A3">
        <v>1</v>
      </c>
      <c r="B3" s="2">
        <v>0.80609251482213395</v>
      </c>
      <c r="C3" s="2">
        <v>0.14257577994573001</v>
      </c>
      <c r="D3" s="2">
        <v>3.1636864000000001E-2</v>
      </c>
    </row>
    <row r="4" spans="1:4" x14ac:dyDescent="0.2">
      <c r="A4">
        <v>2</v>
      </c>
      <c r="B4" s="2">
        <v>0.90496464303359603</v>
      </c>
      <c r="C4" s="2">
        <v>0.27104679700953099</v>
      </c>
      <c r="D4" s="2">
        <v>3.1636864000000001E-2</v>
      </c>
    </row>
    <row r="5" spans="1:4" x14ac:dyDescent="0.2">
      <c r="A5">
        <v>3</v>
      </c>
      <c r="B5" s="2">
        <v>0.86525753458498</v>
      </c>
      <c r="C5" s="2">
        <v>0.18025960894558701</v>
      </c>
      <c r="D5" s="2">
        <v>3.1636864000000001E-2</v>
      </c>
    </row>
    <row r="6" spans="1:4" x14ac:dyDescent="0.2">
      <c r="A6">
        <v>4</v>
      </c>
      <c r="B6" s="2">
        <v>0.87703611351284505</v>
      </c>
      <c r="C6" s="2">
        <v>0.209833705057278</v>
      </c>
      <c r="D6" s="2">
        <v>3.1636864000000001E-2</v>
      </c>
    </row>
    <row r="7" spans="1:4" x14ac:dyDescent="0.2">
      <c r="A7" t="s">
        <v>4</v>
      </c>
      <c r="B7" s="2">
        <f>SUM(B2:B6)/5</f>
        <v>0.84242663724154188</v>
      </c>
      <c r="C7" s="2">
        <f t="shared" ref="C7:D7" si="0">SUM(C2:C6)/5</f>
        <v>0.1825149289173032</v>
      </c>
      <c r="D7" s="2">
        <f t="shared" si="0"/>
        <v>3.1703441200000002E-2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893C-A483-CD43-A7B1-D0BAC3056AA0}">
  <dimension ref="A1:E10"/>
  <sheetViews>
    <sheetView tabSelected="1" workbookViewId="0">
      <selection activeCell="J19" sqref="J19"/>
    </sheetView>
  </sheetViews>
  <sheetFormatPr baseColWidth="10" defaultRowHeight="16" x14ac:dyDescent="0.2"/>
  <cols>
    <col min="1" max="1" width="21.83203125" customWidth="1"/>
    <col min="2" max="2" width="22" customWidth="1"/>
    <col min="3" max="3" width="13.5" customWidth="1"/>
    <col min="4" max="4" width="13.83203125" customWidth="1"/>
  </cols>
  <sheetData>
    <row r="1" spans="1:5" x14ac:dyDescent="0.2">
      <c r="B1" s="3" t="s">
        <v>5</v>
      </c>
      <c r="C1" s="3" t="s">
        <v>6</v>
      </c>
      <c r="D1" s="3" t="s">
        <v>7</v>
      </c>
    </row>
    <row r="2" spans="1:5" x14ac:dyDescent="0.2">
      <c r="A2" t="s">
        <v>8</v>
      </c>
      <c r="B2" s="1">
        <v>0.77931521174667373</v>
      </c>
      <c r="C2" s="1">
        <v>0.86007990637882992</v>
      </c>
      <c r="D2" s="1">
        <v>0.84242663724154188</v>
      </c>
    </row>
    <row r="3" spans="1:5" x14ac:dyDescent="0.2">
      <c r="A3" t="s">
        <v>9</v>
      </c>
      <c r="B3" s="1">
        <v>0.18470903937016958</v>
      </c>
      <c r="C3" s="1">
        <v>0.32851638863259058</v>
      </c>
      <c r="D3" s="1">
        <v>0.1825149289173032</v>
      </c>
    </row>
    <row r="4" spans="1:5" x14ac:dyDescent="0.2">
      <c r="A4" t="s">
        <v>10</v>
      </c>
      <c r="B4" s="1">
        <v>3.1703440870078703E-2</v>
      </c>
      <c r="C4" s="1">
        <v>3.1703440870078703E-2</v>
      </c>
      <c r="D4" s="1">
        <v>3.1703441200000002E-2</v>
      </c>
    </row>
    <row r="7" spans="1:5" x14ac:dyDescent="0.2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</row>
    <row r="8" spans="1:5" x14ac:dyDescent="0.2">
      <c r="A8" t="s">
        <v>5</v>
      </c>
      <c r="B8" t="s">
        <v>16</v>
      </c>
      <c r="C8">
        <v>0.77900000000000003</v>
      </c>
      <c r="D8">
        <v>0.185</v>
      </c>
      <c r="E8">
        <v>3.2000000000000001E-2</v>
      </c>
    </row>
    <row r="9" spans="1:5" x14ac:dyDescent="0.2">
      <c r="A9" t="s">
        <v>6</v>
      </c>
      <c r="B9" t="s">
        <v>16</v>
      </c>
      <c r="C9" s="4">
        <v>0.86</v>
      </c>
      <c r="D9" s="4">
        <v>0.32900000000000001</v>
      </c>
      <c r="E9">
        <v>3.2000000000000001E-2</v>
      </c>
    </row>
    <row r="10" spans="1:5" x14ac:dyDescent="0.2">
      <c r="A10" t="s">
        <v>17</v>
      </c>
      <c r="B10" t="s">
        <v>18</v>
      </c>
      <c r="C10">
        <v>0.84199999999999997</v>
      </c>
      <c r="D10">
        <v>0.183</v>
      </c>
      <c r="E10">
        <v>3.2000000000000001E-2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Logistic Regression</vt:lpstr>
      <vt:lpstr>XGBoost</vt:lpstr>
      <vt:lpstr>CNN+MLP</vt:lpstr>
      <vt:lpstr>Comparison</vt:lpstr>
      <vt:lpstr>'CNN+MLP'!cnn_mlp_5fold_results</vt:lpstr>
      <vt:lpstr>'Logistic Regression'!logistic_regression_5fold_results</vt:lpstr>
      <vt:lpstr>XGBoost!xgboost_5fold_results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MORELLI BELLIDO RODRIGO MARTIN</dc:creator>
  <cp:lastModifiedBy>MORELLI BELLIDO RODRIGO MARTIN</cp:lastModifiedBy>
  <dcterms:created xsi:type="dcterms:W3CDTF">2026-06-29T12:58:47Z</dcterms:created>
  <dcterms:modified xsi:type="dcterms:W3CDTF">2026-06-30T01:58:42Z</dcterms:modified>
</cp:coreProperties>
</file>